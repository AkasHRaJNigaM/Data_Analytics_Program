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 Softwares\"/>
    </mc:Choice>
  </mc:AlternateContent>
  <xr:revisionPtr revIDLastSave="0" documentId="8_{1A92D7D5-DCC3-4F2F-A215-FC1F14BDBF47}" xr6:coauthVersionLast="47" xr6:coauthVersionMax="47" xr10:uidLastSave="{00000000-0000-0000-0000-000000000000}"/>
  <bookViews>
    <workbookView xWindow="-108" yWindow="-108" windowWidth="23256" windowHeight="12456" firstSheet="1" activeTab="2" xr2:uid="{7C1A8916-00B2-4646-AB92-5EB0FC5BCD3E}"/>
  </bookViews>
  <sheets>
    <sheet name="FuzzyLookup_AddIn_Undo_Sheet" sheetId="3" state="hidden" r:id="rId1"/>
    <sheet name="India_Tourism" sheetId="2" r:id="rId2"/>
    <sheet name="Sheet1" sheetId="1" r:id="rId3"/>
  </sheets>
  <definedNames>
    <definedName name="ExternalData_1" localSheetId="0" hidden="1">FuzzyLookup_AddIn_Undo_Sheet!$A$1:$H$38</definedName>
    <definedName name="ExternalData_1" localSheetId="1" hidden="1">India_Tourism!$A$1:$H$38</definedName>
    <definedName name="In_Tourism">In_Toursism[]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3" l="1"/>
  <c r="L8" i="3"/>
  <c r="L8" i="2"/>
  <c r="M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A107C-AA61-42C3-B479-7B138DAD8DB6}" keepAlive="1" name="Query - India-Tourism-Statistics-2022-Table-5 1 3_R" description="Connection to the 'India-Tourism-Statistics-2022-Table-5 1 3_R' query in the workbook." type="5" refreshedVersion="8" background="1" saveData="1">
    <dbPr connection="Provider=Microsoft.Mashup.OleDb.1;Data Source=$Workbook$;Location=&quot;India-Tourism-Statistics-2022-Table-5 1 3_R&quot;;Extended Properties=&quot;&quot;" command="SELECT * FROM [India-Tourism-Statistics-2022-Table-5 1 3_R]"/>
  </connection>
  <connection id="2" xr16:uid="{F75B9E44-0600-4022-AB9F-C38AE2E0856E}" keepAlive="1" name="Query - India-Tourism-Statistics-2022-Table-5 1 3_R (2)" description="Connection to the 'India-Tourism-Statistics-2022-Table-5 1 3_R (2)' query in the workbook." type="5" refreshedVersion="8" background="1" saveData="1">
    <dbPr connection="Provider=Microsoft.Mashup.OleDb.1;Data Source=$Workbook$;Location=&quot;India-Tourism-Statistics-2022-Table-5 1 3_R (2)&quot;;Extended Properties=&quot;&quot;" command="SELECT * FROM [India-Tourism-Statistics-2022-Table-5 1 3_R (2)]"/>
  </connection>
</connections>
</file>

<file path=xl/sharedStrings.xml><?xml version="1.0" encoding="utf-8"?>
<sst xmlns="http://schemas.openxmlformats.org/spreadsheetml/2006/main" count="398" uniqueCount="85">
  <si>
    <t>City Name,Month,Amount collected from citizens by Municipal Corporation / smart city for various services such as Property Tax etc. - Total Collection ELECTRICITY ,"Amount collected from citizens by Municipal Corporation / smart city for various services such as Property Tax etc. - Amount Collected as digital payment (non-cash, non cheque)",Domestic Water charges by water utilities/Water authority/ Local body - Total Collection,"Domestic Water charges by water utilities/Water authority/ Local body - Amount Collected as digital payment (non-cash, non-cheque)",Amount collected by ticket sale for Bus and Metro Services - Total Collection,"Amount collected by ticket sale for Bus and Metro Services - Amount Collected as digital payment (non-cash, non-cheque)"</t>
  </si>
  <si>
    <t>S.No.</t>
  </si>
  <si>
    <t>States/Uts</t>
  </si>
  <si>
    <t>2021( R ) - Domestic</t>
  </si>
  <si>
    <t>2021 ( R ) - Foreign</t>
  </si>
  <si>
    <t>Percentage Share - Domestic</t>
  </si>
  <si>
    <t>Percentage Share - Foreign</t>
  </si>
  <si>
    <t>Rank 2021 - Domestic</t>
  </si>
  <si>
    <t>Rank 2021 - Foreign</t>
  </si>
  <si>
    <t>1</t>
  </si>
  <si>
    <t>Andaman and Nicobar Islands</t>
  </si>
  <si>
    <t>32</t>
  </si>
  <si>
    <t>21</t>
  </si>
  <si>
    <t>2</t>
  </si>
  <si>
    <t xml:space="preserve">Andhra Pradesh  </t>
  </si>
  <si>
    <t>3</t>
  </si>
  <si>
    <t>11</t>
  </si>
  <si>
    <t xml:space="preserve">Arunachal Pradesh </t>
  </si>
  <si>
    <t>33</t>
  </si>
  <si>
    <t>4</t>
  </si>
  <si>
    <t>Assam</t>
  </si>
  <si>
    <t>23</t>
  </si>
  <si>
    <t>27</t>
  </si>
  <si>
    <t>5</t>
  </si>
  <si>
    <t xml:space="preserve">Bihar  </t>
  </si>
  <si>
    <t>25</t>
  </si>
  <si>
    <t>6</t>
  </si>
  <si>
    <t>Chandigarh</t>
  </si>
  <si>
    <t>28</t>
  </si>
  <si>
    <t>17</t>
  </si>
  <si>
    <t>7</t>
  </si>
  <si>
    <t xml:space="preserve">Chhattisgarh </t>
  </si>
  <si>
    <t>35</t>
  </si>
  <si>
    <t>8</t>
  </si>
  <si>
    <t xml:space="preserve">Dadra &amp; Nagar Haveli </t>
  </si>
  <si>
    <t>29</t>
  </si>
  <si>
    <t>34</t>
  </si>
  <si>
    <t>9</t>
  </si>
  <si>
    <t>Daman &amp; Diu</t>
  </si>
  <si>
    <t>26</t>
  </si>
  <si>
    <t>10</t>
  </si>
  <si>
    <t>Delhi</t>
  </si>
  <si>
    <t>14</t>
  </si>
  <si>
    <t xml:space="preserve">Goa </t>
  </si>
  <si>
    <t>20</t>
  </si>
  <si>
    <t>12</t>
  </si>
  <si>
    <t xml:space="preserve">Gujarat </t>
  </si>
  <si>
    <t>13</t>
  </si>
  <si>
    <t xml:space="preserve">Haryana </t>
  </si>
  <si>
    <t>22</t>
  </si>
  <si>
    <t>19</t>
  </si>
  <si>
    <t xml:space="preserve">Himachal Pradesh  </t>
  </si>
  <si>
    <t>16</t>
  </si>
  <si>
    <t>18</t>
  </si>
  <si>
    <t>15</t>
  </si>
  <si>
    <t>Jammu &amp; Kashmir</t>
  </si>
  <si>
    <t>Jharkhand</t>
  </si>
  <si>
    <t xml:space="preserve">Karnataka </t>
  </si>
  <si>
    <t xml:space="preserve">Kerala </t>
  </si>
  <si>
    <t>Lakshdweep</t>
  </si>
  <si>
    <t>37</t>
  </si>
  <si>
    <t>Leh Ladakh</t>
  </si>
  <si>
    <t>24</t>
  </si>
  <si>
    <t>Madhya Pradesh</t>
  </si>
  <si>
    <t>Maharashtra</t>
  </si>
  <si>
    <t xml:space="preserve">Manipur  </t>
  </si>
  <si>
    <t xml:space="preserve">Meghalaya </t>
  </si>
  <si>
    <t>31</t>
  </si>
  <si>
    <t xml:space="preserve">Mizoram </t>
  </si>
  <si>
    <t xml:space="preserve">Nagaland </t>
  </si>
  <si>
    <t>36</t>
  </si>
  <si>
    <t xml:space="preserve">Odisha </t>
  </si>
  <si>
    <t>Puducherry</t>
  </si>
  <si>
    <t>30</t>
  </si>
  <si>
    <t xml:space="preserve">Punjab </t>
  </si>
  <si>
    <t xml:space="preserve">Rajasthan  </t>
  </si>
  <si>
    <t xml:space="preserve">Sikkim </t>
  </si>
  <si>
    <t xml:space="preserve">Tamil Nadu </t>
  </si>
  <si>
    <t>Telengana</t>
  </si>
  <si>
    <t xml:space="preserve">Tripura </t>
  </si>
  <si>
    <t>Uttar Pradesh</t>
  </si>
  <si>
    <t xml:space="preserve">Uttarakhand </t>
  </si>
  <si>
    <t xml:space="preserve">West Bengal </t>
  </si>
  <si>
    <t>Domestic Rank</t>
  </si>
  <si>
    <t>Foreign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</si>
</sst>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1" xfId="0" applyNumberFormat="1" applyFont="1" applyFill="1" applyBorder="1"/>
    <xf numFmtId="0" fontId="1" fillId="0" borderId="0" xfId="1"/>
    <xf numFmtId="0" fontId="0" fillId="0" borderId="0" xfId="0" applyAlignment="1"/>
    <xf numFmtId="168" fontId="0" fillId="0" borderId="0" xfId="0" applyNumberFormat="1"/>
  </cellXfs>
  <cellStyles count="2">
    <cellStyle name="Heading 4" xfId="1" builtinId="19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D8C7C4-9E71-46D9-9D4A-9C16A5E5A80D}" autoFormatId="16" applyNumberFormats="0" applyBorderFormats="0" applyFontFormats="0" applyPatternFormats="0" applyAlignmentFormats="0" applyWidthHeightFormats="0">
  <queryTableRefresh nextId="9">
    <queryTableFields count="8">
      <queryTableField id="1" name="S.No." tableColumnId="1"/>
      <queryTableField id="2" name="States/Uts" tableColumnId="2"/>
      <queryTableField id="3" name="2021( R ) - Domestic" tableColumnId="3"/>
      <queryTableField id="4" name="2021 ( R ) - Foreign" tableColumnId="4"/>
      <queryTableField id="5" name="Percentage Share - Domestic" tableColumnId="5"/>
      <queryTableField id="6" name="Percentage Share - Foreign" tableColumnId="6"/>
      <queryTableField id="7" name="Rank 2021 - Domestic" tableColumnId="7"/>
      <queryTableField id="8" name="Rank 2021 - Foreig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BC6523-9B6B-4890-B0F9-FB63CD7F75A8}" autoFormatId="16" applyNumberFormats="0" applyBorderFormats="0" applyFontFormats="0" applyPatternFormats="0" applyAlignmentFormats="0" applyWidthHeightFormats="0">
  <queryTableRefresh nextId="9">
    <queryTableFields count="8">
      <queryTableField id="1" name="S.No." tableColumnId="1"/>
      <queryTableField id="2" name="States/Uts" tableColumnId="2"/>
      <queryTableField id="3" name="2021( R ) - Domestic" tableColumnId="3"/>
      <queryTableField id="4" name="2021 ( R ) - Foreign" tableColumnId="4"/>
      <queryTableField id="5" name="Percentage Share - Domestic" tableColumnId="5"/>
      <queryTableField id="6" name="Percentage Share - Foreign" tableColumnId="6"/>
      <queryTableField id="7" name="Rank 2021 - Domestic" tableColumnId="7"/>
      <queryTableField id="8" name="Rank 2021 - Foreig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C6331C-CF8D-4349-84BC-82CA9B443575}" name="In_Toursism4" displayName="In_Toursism4" ref="A1:H38" tableType="queryTable" totalsRowShown="0">
  <autoFilter ref="A1:H38" xr:uid="{39C6331C-CF8D-4349-84BC-82CA9B443575}"/>
  <tableColumns count="8">
    <tableColumn id="1" xr3:uid="{404944A7-587E-4960-9838-9944940914BD}" uniqueName="1" name="S.No." queryTableFieldId="1" dataDxfId="3"/>
    <tableColumn id="2" xr3:uid="{92FA8D6E-0698-4BE6-B689-D3B3412F2ED0}" uniqueName="2" name="States/Uts" queryTableFieldId="2" dataDxfId="2"/>
    <tableColumn id="3" xr3:uid="{35903DDD-9203-45A6-BAB2-211828ACE0B3}" uniqueName="3" name="2021( R ) - Domestic" queryTableFieldId="3"/>
    <tableColumn id="4" xr3:uid="{E85165B0-2A1B-4415-9542-8FBABC1B7FB5}" uniqueName="4" name="2021 ( R ) - Foreign" queryTableFieldId="4"/>
    <tableColumn id="5" xr3:uid="{D8A0596C-C9CE-4914-AFF3-D406863F6D5E}" uniqueName="5" name="Percentage Share - Domestic" queryTableFieldId="5"/>
    <tableColumn id="6" xr3:uid="{C99C9A42-B3EF-45BB-814F-404D92524C2D}" uniqueName="6" name="Percentage Share - Foreign" queryTableFieldId="6"/>
    <tableColumn id="7" xr3:uid="{9B562A5F-0357-4DB0-97E0-2004F28F1FA2}" uniqueName="7" name="Rank 2021 - Domestic" queryTableFieldId="7" dataDxfId="1"/>
    <tableColumn id="8" xr3:uid="{644B3A98-8629-4263-82DB-86AADE3D50CE}" uniqueName="8" name="Rank 2021 - Foreign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D2F03-8E3B-469F-BEFF-EC3E64C640E7}" name="In_Toursism" displayName="In_Toursism" ref="A1:H38" tableType="queryTable" totalsRowShown="0">
  <autoFilter ref="A1:H38" xr:uid="{B78D2F03-8E3B-469F-BEFF-EC3E64C640E7}"/>
  <tableColumns count="8">
    <tableColumn id="1" xr3:uid="{6683512D-EBA7-4E56-B91F-0F2DB48EAA94}" uniqueName="1" name="S.No." queryTableFieldId="1" dataDxfId="7"/>
    <tableColumn id="2" xr3:uid="{AF5A5049-67A8-4024-8D95-0F8639957F4F}" uniqueName="2" name="States/Uts" queryTableFieldId="2" dataDxfId="6"/>
    <tableColumn id="3" xr3:uid="{E88ECA6E-A35B-4C82-B4DC-F95DD81141D0}" uniqueName="3" name="2021( R ) - Domestic" queryTableFieldId="3"/>
    <tableColumn id="4" xr3:uid="{3709B1AE-3645-45F2-8698-0A9292ABCDBB}" uniqueName="4" name="2021 ( R ) - Foreign" queryTableFieldId="4"/>
    <tableColumn id="5" xr3:uid="{6DA2D517-3CAF-4F2F-BCFD-CAC9B5345ACD}" uniqueName="5" name="Percentage Share - Domestic" queryTableFieldId="5"/>
    <tableColumn id="6" xr3:uid="{E84D3218-4563-4379-B6D7-CA5671126D77}" uniqueName="6" name="Percentage Share - Foreign" queryTableFieldId="6"/>
    <tableColumn id="7" xr3:uid="{D2248DD6-4D82-4F84-A882-0DBD68A30577}" uniqueName="7" name="Rank 2021 - Domestic" queryTableFieldId="7" dataDxfId="5"/>
    <tableColumn id="8" xr3:uid="{42361168-9177-45BC-995C-979BA244A47F}" uniqueName="8" name="Rank 2021 - Foreign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ACE5-7B2C-40CF-865B-FEA5B6BD1E3F}">
  <sheetPr codeName="Sheet1"/>
  <dimension ref="A1:M38"/>
  <sheetViews>
    <sheetView workbookViewId="0"/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13" x14ac:dyDescent="0.3">
      <c r="A2" s="1" t="s">
        <v>9</v>
      </c>
      <c r="B2" s="1" t="s">
        <v>10</v>
      </c>
      <c r="C2">
        <v>126238</v>
      </c>
      <c r="D2">
        <v>1687</v>
      </c>
      <c r="E2">
        <v>0.02</v>
      </c>
      <c r="F2">
        <v>0.16</v>
      </c>
      <c r="G2" s="1" t="s">
        <v>11</v>
      </c>
      <c r="H2" s="1" t="s">
        <v>12</v>
      </c>
    </row>
    <row r="3" spans="1:13" x14ac:dyDescent="0.3">
      <c r="A3" s="1" t="s">
        <v>13</v>
      </c>
      <c r="B3" s="1" t="s">
        <v>14</v>
      </c>
      <c r="C3">
        <v>93277569</v>
      </c>
      <c r="D3">
        <v>27551</v>
      </c>
      <c r="E3">
        <v>13.77</v>
      </c>
      <c r="F3">
        <v>2.61</v>
      </c>
      <c r="G3" s="1" t="s">
        <v>15</v>
      </c>
      <c r="H3" s="1" t="s">
        <v>16</v>
      </c>
    </row>
    <row r="4" spans="1:13" x14ac:dyDescent="0.3">
      <c r="A4" s="1" t="s">
        <v>15</v>
      </c>
      <c r="B4" s="1" t="s">
        <v>17</v>
      </c>
      <c r="C4">
        <v>102915</v>
      </c>
      <c r="D4">
        <v>182</v>
      </c>
      <c r="E4">
        <v>0.02</v>
      </c>
      <c r="F4">
        <v>0.02</v>
      </c>
      <c r="G4" s="1" t="s">
        <v>18</v>
      </c>
      <c r="H4" s="1" t="s">
        <v>11</v>
      </c>
    </row>
    <row r="5" spans="1:13" x14ac:dyDescent="0.3">
      <c r="A5" s="1" t="s">
        <v>19</v>
      </c>
      <c r="B5" s="1" t="s">
        <v>20</v>
      </c>
      <c r="C5">
        <v>1409161</v>
      </c>
      <c r="D5">
        <v>536</v>
      </c>
      <c r="E5">
        <v>0.21</v>
      </c>
      <c r="F5">
        <v>0.05</v>
      </c>
      <c r="G5" s="1" t="s">
        <v>21</v>
      </c>
      <c r="H5" s="1" t="s">
        <v>22</v>
      </c>
    </row>
    <row r="6" spans="1:13" x14ac:dyDescent="0.3">
      <c r="A6" s="1" t="s">
        <v>23</v>
      </c>
      <c r="B6" s="1" t="s">
        <v>24</v>
      </c>
      <c r="C6">
        <v>2501193</v>
      </c>
      <c r="D6">
        <v>1046</v>
      </c>
      <c r="E6">
        <v>0.37</v>
      </c>
      <c r="F6">
        <v>0.1</v>
      </c>
      <c r="G6" s="1" t="s">
        <v>12</v>
      </c>
      <c r="H6" s="1" t="s">
        <v>25</v>
      </c>
    </row>
    <row r="7" spans="1:13" x14ac:dyDescent="0.3">
      <c r="A7" s="1" t="s">
        <v>26</v>
      </c>
      <c r="B7" s="1" t="s">
        <v>27</v>
      </c>
      <c r="C7">
        <v>228809</v>
      </c>
      <c r="D7">
        <v>5451</v>
      </c>
      <c r="E7">
        <v>0.03</v>
      </c>
      <c r="F7">
        <v>0.52</v>
      </c>
      <c r="G7" s="1" t="s">
        <v>28</v>
      </c>
      <c r="H7" s="1" t="s">
        <v>29</v>
      </c>
      <c r="K7" s="2" t="s">
        <v>2</v>
      </c>
      <c r="L7" s="2" t="s">
        <v>83</v>
      </c>
      <c r="M7" s="2" t="s">
        <v>84</v>
      </c>
    </row>
    <row r="8" spans="1:13" x14ac:dyDescent="0.3">
      <c r="A8" s="1" t="s">
        <v>30</v>
      </c>
      <c r="B8" s="1" t="s">
        <v>31</v>
      </c>
      <c r="C8">
        <v>4747417</v>
      </c>
      <c r="D8">
        <v>8</v>
      </c>
      <c r="E8">
        <v>0.7</v>
      </c>
      <c r="F8">
        <v>0</v>
      </c>
      <c r="G8" s="1" t="s">
        <v>29</v>
      </c>
      <c r="H8" s="1" t="s">
        <v>32</v>
      </c>
      <c r="K8" s="4" t="s">
        <v>80</v>
      </c>
      <c r="L8" s="3" t="str">
        <f>VLOOKUP(K8,In_Toursism4[[#All],[States/Uts]:[Rank 2021 - Foreign]],6,FALSE)</f>
        <v>2</v>
      </c>
      <c r="M8" s="3" t="str">
        <f>VLOOKUP(K8,In_Toursism4[[#All],[States/Uts]:[Rank 2021 - Foreign]],7,FALSE)</f>
        <v>7</v>
      </c>
    </row>
    <row r="9" spans="1:13" x14ac:dyDescent="0.3">
      <c r="A9" s="1" t="s">
        <v>33</v>
      </c>
      <c r="B9" s="1" t="s">
        <v>34</v>
      </c>
      <c r="C9">
        <v>197802</v>
      </c>
      <c r="D9">
        <v>80</v>
      </c>
      <c r="E9">
        <v>0.03</v>
      </c>
      <c r="F9">
        <v>0.01</v>
      </c>
      <c r="G9" s="1" t="s">
        <v>35</v>
      </c>
      <c r="H9" s="1" t="s">
        <v>36</v>
      </c>
    </row>
    <row r="10" spans="1:13" x14ac:dyDescent="0.3">
      <c r="A10" s="1" t="s">
        <v>37</v>
      </c>
      <c r="B10" s="1" t="s">
        <v>38</v>
      </c>
      <c r="C10">
        <v>463420</v>
      </c>
      <c r="D10">
        <v>105</v>
      </c>
      <c r="E10">
        <v>7.0000000000000007E-2</v>
      </c>
      <c r="F10">
        <v>0.01</v>
      </c>
      <c r="G10" s="1" t="s">
        <v>39</v>
      </c>
      <c r="H10" s="1" t="s">
        <v>18</v>
      </c>
    </row>
    <row r="11" spans="1:13" x14ac:dyDescent="0.3">
      <c r="A11" s="1" t="s">
        <v>40</v>
      </c>
      <c r="B11" s="1" t="s">
        <v>41</v>
      </c>
      <c r="C11">
        <v>10642477</v>
      </c>
      <c r="D11">
        <v>100178</v>
      </c>
      <c r="E11">
        <v>1.57</v>
      </c>
      <c r="F11">
        <v>9.5</v>
      </c>
      <c r="G11" s="1" t="s">
        <v>42</v>
      </c>
      <c r="H11" s="1" t="s">
        <v>15</v>
      </c>
    </row>
    <row r="12" spans="1:13" x14ac:dyDescent="0.3">
      <c r="A12" s="1" t="s">
        <v>16</v>
      </c>
      <c r="B12" s="1" t="s">
        <v>43</v>
      </c>
      <c r="C12">
        <v>3308089</v>
      </c>
      <c r="D12">
        <v>22128</v>
      </c>
      <c r="E12">
        <v>0.49</v>
      </c>
      <c r="F12">
        <v>2.1</v>
      </c>
      <c r="G12" s="1" t="s">
        <v>44</v>
      </c>
      <c r="H12" s="1" t="s">
        <v>45</v>
      </c>
    </row>
    <row r="13" spans="1:13" x14ac:dyDescent="0.3">
      <c r="A13" s="1" t="s">
        <v>45</v>
      </c>
      <c r="B13" s="1" t="s">
        <v>46</v>
      </c>
      <c r="C13">
        <v>24525210</v>
      </c>
      <c r="D13">
        <v>11319</v>
      </c>
      <c r="E13">
        <v>3.62</v>
      </c>
      <c r="F13">
        <v>1.07</v>
      </c>
      <c r="G13" s="1" t="s">
        <v>37</v>
      </c>
      <c r="H13" s="1" t="s">
        <v>42</v>
      </c>
    </row>
    <row r="14" spans="1:13" x14ac:dyDescent="0.3">
      <c r="A14" s="1" t="s">
        <v>47</v>
      </c>
      <c r="B14" s="1" t="s">
        <v>48</v>
      </c>
      <c r="C14">
        <v>2025450</v>
      </c>
      <c r="D14">
        <v>4578</v>
      </c>
      <c r="E14">
        <v>0.3</v>
      </c>
      <c r="F14">
        <v>0.43</v>
      </c>
      <c r="G14" s="1" t="s">
        <v>49</v>
      </c>
      <c r="H14" s="1" t="s">
        <v>50</v>
      </c>
    </row>
    <row r="15" spans="1:13" x14ac:dyDescent="0.3">
      <c r="A15" s="1" t="s">
        <v>42</v>
      </c>
      <c r="B15" s="1" t="s">
        <v>51</v>
      </c>
      <c r="C15">
        <v>5632270</v>
      </c>
      <c r="D15">
        <v>4932</v>
      </c>
      <c r="E15">
        <v>0.83</v>
      </c>
      <c r="F15">
        <v>0.47</v>
      </c>
      <c r="G15" s="1" t="s">
        <v>52</v>
      </c>
      <c r="H15" s="1" t="s">
        <v>53</v>
      </c>
    </row>
    <row r="16" spans="1:13" x14ac:dyDescent="0.3">
      <c r="A16" s="1" t="s">
        <v>54</v>
      </c>
      <c r="B16" s="1" t="s">
        <v>55</v>
      </c>
      <c r="C16">
        <v>11314920</v>
      </c>
      <c r="D16">
        <v>1650</v>
      </c>
      <c r="E16">
        <v>1.67</v>
      </c>
      <c r="F16">
        <v>0.16</v>
      </c>
      <c r="G16" s="1" t="s">
        <v>47</v>
      </c>
      <c r="H16" s="1" t="s">
        <v>49</v>
      </c>
    </row>
    <row r="17" spans="1:8" x14ac:dyDescent="0.3">
      <c r="A17" s="1" t="s">
        <v>52</v>
      </c>
      <c r="B17" s="1" t="s">
        <v>56</v>
      </c>
      <c r="C17">
        <v>3383642</v>
      </c>
      <c r="D17">
        <v>1637</v>
      </c>
      <c r="E17">
        <v>0.5</v>
      </c>
      <c r="F17">
        <v>0.16</v>
      </c>
      <c r="G17" s="1" t="s">
        <v>50</v>
      </c>
      <c r="H17" s="1" t="s">
        <v>21</v>
      </c>
    </row>
    <row r="18" spans="1:8" x14ac:dyDescent="0.3">
      <c r="A18" s="1" t="s">
        <v>29</v>
      </c>
      <c r="B18" s="1" t="s">
        <v>57</v>
      </c>
      <c r="C18">
        <v>81333659</v>
      </c>
      <c r="D18">
        <v>72487</v>
      </c>
      <c r="E18">
        <v>12</v>
      </c>
      <c r="F18">
        <v>6.87</v>
      </c>
      <c r="G18" s="1" t="s">
        <v>19</v>
      </c>
      <c r="H18" s="1" t="s">
        <v>19</v>
      </c>
    </row>
    <row r="19" spans="1:8" x14ac:dyDescent="0.3">
      <c r="A19" s="1" t="s">
        <v>53</v>
      </c>
      <c r="B19" s="1" t="s">
        <v>58</v>
      </c>
      <c r="C19">
        <v>7537617</v>
      </c>
      <c r="D19">
        <v>60487</v>
      </c>
      <c r="E19">
        <v>1.1100000000000001</v>
      </c>
      <c r="F19">
        <v>5.74</v>
      </c>
      <c r="G19" s="1" t="s">
        <v>54</v>
      </c>
      <c r="H19" s="1" t="s">
        <v>23</v>
      </c>
    </row>
    <row r="20" spans="1:8" x14ac:dyDescent="0.3">
      <c r="A20" s="1" t="s">
        <v>50</v>
      </c>
      <c r="B20" s="1" t="s">
        <v>59</v>
      </c>
      <c r="C20">
        <v>13500</v>
      </c>
      <c r="D20">
        <v>4</v>
      </c>
      <c r="E20">
        <v>0</v>
      </c>
      <c r="F20">
        <v>0</v>
      </c>
      <c r="G20" s="1" t="s">
        <v>60</v>
      </c>
      <c r="H20" s="1" t="s">
        <v>60</v>
      </c>
    </row>
    <row r="21" spans="1:8" x14ac:dyDescent="0.3">
      <c r="A21" s="1" t="s">
        <v>44</v>
      </c>
      <c r="B21" s="1" t="s">
        <v>61</v>
      </c>
      <c r="C21">
        <v>303023</v>
      </c>
      <c r="D21">
        <v>1054</v>
      </c>
      <c r="E21">
        <v>0.04</v>
      </c>
      <c r="F21">
        <v>0.1</v>
      </c>
      <c r="G21" s="1" t="s">
        <v>22</v>
      </c>
      <c r="H21" s="1" t="s">
        <v>62</v>
      </c>
    </row>
    <row r="22" spans="1:8" x14ac:dyDescent="0.3">
      <c r="A22" s="1" t="s">
        <v>12</v>
      </c>
      <c r="B22" s="1" t="s">
        <v>63</v>
      </c>
      <c r="C22">
        <v>25554067</v>
      </c>
      <c r="D22">
        <v>41601</v>
      </c>
      <c r="E22">
        <v>3.77</v>
      </c>
      <c r="F22">
        <v>3.94</v>
      </c>
      <c r="G22" s="1" t="s">
        <v>33</v>
      </c>
      <c r="H22" s="1" t="s">
        <v>33</v>
      </c>
    </row>
    <row r="23" spans="1:8" x14ac:dyDescent="0.3">
      <c r="A23" s="1" t="s">
        <v>49</v>
      </c>
      <c r="B23" s="1" t="s">
        <v>64</v>
      </c>
      <c r="C23">
        <v>43569238</v>
      </c>
      <c r="D23">
        <v>185643</v>
      </c>
      <c r="E23">
        <v>6.43</v>
      </c>
      <c r="F23">
        <v>17.600000000000001</v>
      </c>
      <c r="G23" s="1" t="s">
        <v>23</v>
      </c>
      <c r="H23" s="1" t="s">
        <v>13</v>
      </c>
    </row>
    <row r="24" spans="1:8" x14ac:dyDescent="0.3">
      <c r="A24" s="1" t="s">
        <v>21</v>
      </c>
      <c r="B24" s="1" t="s">
        <v>65</v>
      </c>
      <c r="C24">
        <v>49371</v>
      </c>
      <c r="D24">
        <v>648</v>
      </c>
      <c r="E24">
        <v>0.01</v>
      </c>
      <c r="F24">
        <v>0.06</v>
      </c>
      <c r="G24" s="1" t="s">
        <v>32</v>
      </c>
      <c r="H24" s="1" t="s">
        <v>39</v>
      </c>
    </row>
    <row r="25" spans="1:8" x14ac:dyDescent="0.3">
      <c r="A25" s="1" t="s">
        <v>62</v>
      </c>
      <c r="B25" s="1" t="s">
        <v>66</v>
      </c>
      <c r="C25">
        <v>154409</v>
      </c>
      <c r="D25">
        <v>411</v>
      </c>
      <c r="E25">
        <v>0.02</v>
      </c>
      <c r="F25">
        <v>0.04</v>
      </c>
      <c r="G25" s="1" t="s">
        <v>67</v>
      </c>
      <c r="H25" s="1" t="s">
        <v>28</v>
      </c>
    </row>
    <row r="26" spans="1:8" x14ac:dyDescent="0.3">
      <c r="A26" s="1" t="s">
        <v>25</v>
      </c>
      <c r="B26" s="1" t="s">
        <v>68</v>
      </c>
      <c r="C26">
        <v>87232</v>
      </c>
      <c r="D26">
        <v>234</v>
      </c>
      <c r="E26">
        <v>0.01</v>
      </c>
      <c r="F26">
        <v>0.02</v>
      </c>
      <c r="G26" s="1" t="s">
        <v>36</v>
      </c>
      <c r="H26" s="1" t="s">
        <v>67</v>
      </c>
    </row>
    <row r="27" spans="1:8" x14ac:dyDescent="0.3">
      <c r="A27" s="1" t="s">
        <v>39</v>
      </c>
      <c r="B27" s="1" t="s">
        <v>69</v>
      </c>
      <c r="C27">
        <v>23968</v>
      </c>
      <c r="D27">
        <v>325</v>
      </c>
      <c r="E27">
        <v>0</v>
      </c>
      <c r="F27">
        <v>0.03</v>
      </c>
      <c r="G27" s="1" t="s">
        <v>70</v>
      </c>
      <c r="H27" s="1" t="s">
        <v>35</v>
      </c>
    </row>
    <row r="28" spans="1:8" x14ac:dyDescent="0.3">
      <c r="A28" s="1" t="s">
        <v>22</v>
      </c>
      <c r="B28" s="1" t="s">
        <v>71</v>
      </c>
      <c r="C28">
        <v>3742221</v>
      </c>
      <c r="D28">
        <v>2269</v>
      </c>
      <c r="E28">
        <v>0.55000000000000004</v>
      </c>
      <c r="F28">
        <v>0.22</v>
      </c>
      <c r="G28" s="1" t="s">
        <v>53</v>
      </c>
      <c r="H28" s="1" t="s">
        <v>44</v>
      </c>
    </row>
    <row r="29" spans="1:8" x14ac:dyDescent="0.3">
      <c r="A29" s="1" t="s">
        <v>28</v>
      </c>
      <c r="B29" s="1" t="s">
        <v>72</v>
      </c>
      <c r="C29">
        <v>1253213</v>
      </c>
      <c r="D29">
        <v>321</v>
      </c>
      <c r="E29">
        <v>0.18</v>
      </c>
      <c r="F29">
        <v>0.03</v>
      </c>
      <c r="G29" s="1" t="s">
        <v>62</v>
      </c>
      <c r="H29" s="1" t="s">
        <v>73</v>
      </c>
    </row>
    <row r="30" spans="1:8" x14ac:dyDescent="0.3">
      <c r="A30" s="1" t="s">
        <v>35</v>
      </c>
      <c r="B30" s="1" t="s">
        <v>74</v>
      </c>
      <c r="C30">
        <v>26640429</v>
      </c>
      <c r="D30">
        <v>308135</v>
      </c>
      <c r="E30">
        <v>3.93</v>
      </c>
      <c r="F30">
        <v>29.22</v>
      </c>
      <c r="G30" s="1" t="s">
        <v>30</v>
      </c>
      <c r="H30" s="1" t="s">
        <v>9</v>
      </c>
    </row>
    <row r="31" spans="1:8" x14ac:dyDescent="0.3">
      <c r="A31" s="1" t="s">
        <v>73</v>
      </c>
      <c r="B31" s="1" t="s">
        <v>75</v>
      </c>
      <c r="C31">
        <v>21988734</v>
      </c>
      <c r="D31">
        <v>34806</v>
      </c>
      <c r="E31">
        <v>3.24</v>
      </c>
      <c r="F31">
        <v>3.3</v>
      </c>
      <c r="G31" s="1" t="s">
        <v>16</v>
      </c>
      <c r="H31" s="1" t="s">
        <v>40</v>
      </c>
    </row>
    <row r="32" spans="1:8" x14ac:dyDescent="0.3">
      <c r="A32" s="1" t="s">
        <v>67</v>
      </c>
      <c r="B32" s="1" t="s">
        <v>76</v>
      </c>
      <c r="C32">
        <v>511669</v>
      </c>
      <c r="D32">
        <v>11508</v>
      </c>
      <c r="E32">
        <v>0.08</v>
      </c>
      <c r="F32">
        <v>1.0900000000000001</v>
      </c>
      <c r="G32" s="1" t="s">
        <v>25</v>
      </c>
      <c r="H32" s="1" t="s">
        <v>47</v>
      </c>
    </row>
    <row r="33" spans="1:8" x14ac:dyDescent="0.3">
      <c r="A33" s="1" t="s">
        <v>11</v>
      </c>
      <c r="B33" s="1" t="s">
        <v>77</v>
      </c>
      <c r="C33">
        <v>115336719</v>
      </c>
      <c r="D33">
        <v>57622</v>
      </c>
      <c r="E33">
        <v>17.02</v>
      </c>
      <c r="F33">
        <v>5.46</v>
      </c>
      <c r="G33" s="1" t="s">
        <v>9</v>
      </c>
      <c r="H33" s="1" t="s">
        <v>26</v>
      </c>
    </row>
    <row r="34" spans="1:8" x14ac:dyDescent="0.3">
      <c r="A34" s="1" t="s">
        <v>18</v>
      </c>
      <c r="B34" s="1" t="s">
        <v>78</v>
      </c>
      <c r="C34">
        <v>32000620</v>
      </c>
      <c r="D34">
        <v>5917</v>
      </c>
      <c r="E34">
        <v>4.72</v>
      </c>
      <c r="F34">
        <v>0.56000000000000005</v>
      </c>
      <c r="G34" s="1" t="s">
        <v>26</v>
      </c>
      <c r="H34" s="1" t="s">
        <v>52</v>
      </c>
    </row>
    <row r="35" spans="1:8" x14ac:dyDescent="0.3">
      <c r="A35" s="1" t="s">
        <v>36</v>
      </c>
      <c r="B35" s="1" t="s">
        <v>79</v>
      </c>
      <c r="C35">
        <v>177816</v>
      </c>
      <c r="D35">
        <v>5</v>
      </c>
      <c r="E35">
        <v>0.03</v>
      </c>
      <c r="F35">
        <v>0</v>
      </c>
      <c r="G35" s="1" t="s">
        <v>73</v>
      </c>
      <c r="H35" s="1" t="s">
        <v>70</v>
      </c>
    </row>
    <row r="36" spans="1:8" x14ac:dyDescent="0.3">
      <c r="A36" s="1" t="s">
        <v>32</v>
      </c>
      <c r="B36" s="1" t="s">
        <v>80</v>
      </c>
      <c r="C36">
        <v>109708435</v>
      </c>
      <c r="D36">
        <v>44737</v>
      </c>
      <c r="E36">
        <v>16.190000000000001</v>
      </c>
      <c r="F36">
        <v>4.24</v>
      </c>
      <c r="G36" s="1" t="s">
        <v>13</v>
      </c>
      <c r="H36" s="1" t="s">
        <v>30</v>
      </c>
    </row>
    <row r="37" spans="1:8" x14ac:dyDescent="0.3">
      <c r="A37" s="1" t="s">
        <v>70</v>
      </c>
      <c r="B37" s="1" t="s">
        <v>81</v>
      </c>
      <c r="C37">
        <v>19434475</v>
      </c>
      <c r="D37">
        <v>8532</v>
      </c>
      <c r="E37">
        <v>2.87</v>
      </c>
      <c r="F37">
        <v>0.81</v>
      </c>
      <c r="G37" s="1" t="s">
        <v>45</v>
      </c>
      <c r="H37" s="1" t="s">
        <v>54</v>
      </c>
    </row>
    <row r="38" spans="1:8" x14ac:dyDescent="0.3">
      <c r="A38" s="1" t="s">
        <v>60</v>
      </c>
      <c r="B38" s="1" t="s">
        <v>82</v>
      </c>
      <c r="C38">
        <v>24325984</v>
      </c>
      <c r="D38">
        <v>34828</v>
      </c>
      <c r="E38">
        <v>3.59</v>
      </c>
      <c r="F38">
        <v>3.3</v>
      </c>
      <c r="G38" s="1" t="s">
        <v>40</v>
      </c>
      <c r="H38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3279-9DC7-494C-BC3E-D1073F8A64A4}">
  <sheetPr codeName="Sheet2"/>
  <dimension ref="A1:AA48"/>
  <sheetViews>
    <sheetView workbookViewId="0">
      <selection sqref="A1:C1048576"/>
    </sheetView>
  </sheetViews>
  <sheetFormatPr defaultRowHeight="14.4" x14ac:dyDescent="0.3"/>
  <cols>
    <col min="1" max="1" width="7.77734375" bestFit="1" customWidth="1"/>
    <col min="2" max="2" width="25.44140625" bestFit="1" customWidth="1"/>
    <col min="3" max="3" width="20.109375" bestFit="1" customWidth="1"/>
    <col min="4" max="4" width="18.88671875" bestFit="1" customWidth="1"/>
    <col min="5" max="5" width="27.6640625" bestFit="1" customWidth="1"/>
    <col min="6" max="6" width="26" bestFit="1" customWidth="1"/>
    <col min="7" max="7" width="21.44140625" bestFit="1" customWidth="1"/>
    <col min="8" max="8" width="19.88671875" bestFit="1" customWidth="1"/>
    <col min="11" max="11" width="25.44140625" bestFit="1" customWidth="1"/>
    <col min="12" max="12" width="13.21875" bestFit="1" customWidth="1"/>
    <col min="13" max="13" width="11.44140625" bestFit="1" customWidth="1"/>
  </cols>
  <sheetData>
    <row r="1" spans="1:2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27" x14ac:dyDescent="0.3">
      <c r="A2" s="1" t="s">
        <v>9</v>
      </c>
      <c r="B2" s="1" t="s">
        <v>10</v>
      </c>
      <c r="C2">
        <v>126238</v>
      </c>
      <c r="D2">
        <v>1687</v>
      </c>
      <c r="E2">
        <v>0.02</v>
      </c>
      <c r="F2">
        <v>0.16</v>
      </c>
      <c r="G2" s="1" t="s">
        <v>11</v>
      </c>
      <c r="H2" s="1" t="s">
        <v>12</v>
      </c>
    </row>
    <row r="3" spans="1:27" x14ac:dyDescent="0.3">
      <c r="A3" s="1" t="s">
        <v>13</v>
      </c>
      <c r="B3" s="1" t="s">
        <v>14</v>
      </c>
      <c r="C3">
        <v>93277569</v>
      </c>
      <c r="D3">
        <v>27551</v>
      </c>
      <c r="E3">
        <v>13.77</v>
      </c>
      <c r="F3">
        <v>2.61</v>
      </c>
      <c r="G3" s="1" t="s">
        <v>15</v>
      </c>
      <c r="H3" s="1" t="s">
        <v>16</v>
      </c>
    </row>
    <row r="4" spans="1:27" x14ac:dyDescent="0.3">
      <c r="A4" s="1" t="s">
        <v>15</v>
      </c>
      <c r="B4" s="1" t="s">
        <v>17</v>
      </c>
      <c r="C4">
        <v>102915</v>
      </c>
      <c r="D4">
        <v>182</v>
      </c>
      <c r="E4">
        <v>0.02</v>
      </c>
      <c r="F4">
        <v>0.02</v>
      </c>
      <c r="G4" s="1" t="s">
        <v>18</v>
      </c>
      <c r="H4" s="1" t="s">
        <v>11</v>
      </c>
    </row>
    <row r="5" spans="1:27" x14ac:dyDescent="0.3">
      <c r="A5" s="1" t="s">
        <v>19</v>
      </c>
      <c r="B5" s="1" t="s">
        <v>20</v>
      </c>
      <c r="C5">
        <v>1409161</v>
      </c>
      <c r="D5">
        <v>536</v>
      </c>
      <c r="E5">
        <v>0.21</v>
      </c>
      <c r="F5">
        <v>0.05</v>
      </c>
      <c r="G5" s="1" t="s">
        <v>21</v>
      </c>
      <c r="H5" s="1" t="s">
        <v>22</v>
      </c>
    </row>
    <row r="6" spans="1:27" x14ac:dyDescent="0.3">
      <c r="A6" s="1" t="s">
        <v>23</v>
      </c>
      <c r="B6" s="1" t="s">
        <v>24</v>
      </c>
      <c r="C6">
        <v>2501193</v>
      </c>
      <c r="D6">
        <v>1046</v>
      </c>
      <c r="E6">
        <v>0.37</v>
      </c>
      <c r="F6">
        <v>0.1</v>
      </c>
      <c r="G6" s="1" t="s">
        <v>12</v>
      </c>
      <c r="H6" s="1" t="s">
        <v>25</v>
      </c>
    </row>
    <row r="7" spans="1:27" x14ac:dyDescent="0.3">
      <c r="A7" s="1" t="s">
        <v>26</v>
      </c>
      <c r="B7" s="1" t="s">
        <v>27</v>
      </c>
      <c r="C7">
        <v>228809</v>
      </c>
      <c r="D7">
        <v>5451</v>
      </c>
      <c r="E7">
        <v>0.03</v>
      </c>
      <c r="F7">
        <v>0.52</v>
      </c>
      <c r="G7" s="1" t="s">
        <v>28</v>
      </c>
      <c r="H7" s="1" t="s">
        <v>29</v>
      </c>
      <c r="K7" s="2" t="s">
        <v>2</v>
      </c>
      <c r="L7" s="2" t="s">
        <v>83</v>
      </c>
      <c r="M7" s="2" t="s">
        <v>84</v>
      </c>
    </row>
    <row r="8" spans="1:27" x14ac:dyDescent="0.3">
      <c r="A8" s="1" t="s">
        <v>30</v>
      </c>
      <c r="B8" s="1" t="s">
        <v>31</v>
      </c>
      <c r="C8">
        <v>4747417</v>
      </c>
      <c r="D8">
        <v>8</v>
      </c>
      <c r="E8">
        <v>0.7</v>
      </c>
      <c r="F8">
        <v>0</v>
      </c>
      <c r="G8" s="1" t="s">
        <v>29</v>
      </c>
      <c r="H8" s="1" t="s">
        <v>32</v>
      </c>
      <c r="K8" s="4" t="s">
        <v>80</v>
      </c>
      <c r="L8" s="3" t="str">
        <f>VLOOKUP(K8,In_Toursism[[#All],[States/Uts]:[Rank 2021 - Foreign]],6,FALSE)</f>
        <v>2</v>
      </c>
      <c r="M8" s="3" t="str">
        <f>VLOOKUP(K8,In_Toursism[[#All],[States/Uts]:[Rank 2021 - Foreign]],7,FALSE)</f>
        <v>7</v>
      </c>
    </row>
    <row r="9" spans="1:27" x14ac:dyDescent="0.3">
      <c r="A9" s="1" t="s">
        <v>33</v>
      </c>
      <c r="B9" s="1" t="s">
        <v>34</v>
      </c>
      <c r="C9">
        <v>197802</v>
      </c>
      <c r="D9">
        <v>80</v>
      </c>
      <c r="E9">
        <v>0.03</v>
      </c>
      <c r="F9">
        <v>0.01</v>
      </c>
      <c r="G9" s="1" t="s">
        <v>35</v>
      </c>
      <c r="H9" s="1" t="s">
        <v>36</v>
      </c>
    </row>
    <row r="10" spans="1:27" x14ac:dyDescent="0.3">
      <c r="A10" s="1" t="s">
        <v>37</v>
      </c>
      <c r="B10" s="1" t="s">
        <v>38</v>
      </c>
      <c r="C10">
        <v>463420</v>
      </c>
      <c r="D10">
        <v>105</v>
      </c>
      <c r="E10">
        <v>7.0000000000000007E-2</v>
      </c>
      <c r="F10">
        <v>0.01</v>
      </c>
      <c r="G10" s="1" t="s">
        <v>39</v>
      </c>
      <c r="H10" s="1" t="s">
        <v>18</v>
      </c>
    </row>
    <row r="11" spans="1:27" x14ac:dyDescent="0.3">
      <c r="A11" s="1" t="s">
        <v>40</v>
      </c>
      <c r="B11" s="1" t="s">
        <v>41</v>
      </c>
      <c r="C11">
        <v>10642477</v>
      </c>
      <c r="D11">
        <v>100178</v>
      </c>
      <c r="E11">
        <v>1.57</v>
      </c>
      <c r="F11">
        <v>9.5</v>
      </c>
      <c r="G11" s="1" t="s">
        <v>42</v>
      </c>
      <c r="H11" s="1" t="s">
        <v>15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">
      <c r="A12" s="1" t="s">
        <v>16</v>
      </c>
      <c r="B12" s="1" t="s">
        <v>43</v>
      </c>
      <c r="C12">
        <v>3308089</v>
      </c>
      <c r="D12">
        <v>22128</v>
      </c>
      <c r="E12">
        <v>0.49</v>
      </c>
      <c r="F12">
        <v>2.1</v>
      </c>
      <c r="G12" s="1" t="s">
        <v>44</v>
      </c>
      <c r="H12" s="1" t="s">
        <v>45</v>
      </c>
      <c r="Z12" s="7"/>
      <c r="AA12" s="6"/>
    </row>
    <row r="13" spans="1:27" x14ac:dyDescent="0.3">
      <c r="A13" s="1" t="s">
        <v>45</v>
      </c>
      <c r="B13" s="1" t="s">
        <v>46</v>
      </c>
      <c r="C13">
        <v>24525210</v>
      </c>
      <c r="D13">
        <v>11319</v>
      </c>
      <c r="E13">
        <v>3.62</v>
      </c>
      <c r="F13">
        <v>1.07</v>
      </c>
      <c r="G13" s="1" t="s">
        <v>37</v>
      </c>
      <c r="H13" s="1" t="s">
        <v>42</v>
      </c>
      <c r="Z13" s="7"/>
      <c r="AA13" s="6"/>
    </row>
    <row r="14" spans="1:27" x14ac:dyDescent="0.3">
      <c r="A14" s="1" t="s">
        <v>47</v>
      </c>
      <c r="B14" s="1" t="s">
        <v>48</v>
      </c>
      <c r="C14">
        <v>2025450</v>
      </c>
      <c r="D14">
        <v>4578</v>
      </c>
      <c r="E14">
        <v>0.3</v>
      </c>
      <c r="F14">
        <v>0.43</v>
      </c>
      <c r="G14" s="1" t="s">
        <v>49</v>
      </c>
      <c r="H14" s="1" t="s">
        <v>50</v>
      </c>
      <c r="Z14" s="7"/>
      <c r="AA14" s="6"/>
    </row>
    <row r="15" spans="1:27" x14ac:dyDescent="0.3">
      <c r="A15" s="1" t="s">
        <v>42</v>
      </c>
      <c r="B15" s="1" t="s">
        <v>51</v>
      </c>
      <c r="C15">
        <v>5632270</v>
      </c>
      <c r="D15">
        <v>4932</v>
      </c>
      <c r="E15">
        <v>0.83</v>
      </c>
      <c r="F15">
        <v>0.47</v>
      </c>
      <c r="G15" s="1" t="s">
        <v>52</v>
      </c>
      <c r="H15" s="1" t="s">
        <v>53</v>
      </c>
      <c r="Z15" s="7"/>
      <c r="AA15" s="6"/>
    </row>
    <row r="16" spans="1:27" x14ac:dyDescent="0.3">
      <c r="A16" s="1" t="s">
        <v>54</v>
      </c>
      <c r="B16" s="1" t="s">
        <v>55</v>
      </c>
      <c r="C16">
        <v>11314920</v>
      </c>
      <c r="D16">
        <v>1650</v>
      </c>
      <c r="E16">
        <v>1.67</v>
      </c>
      <c r="F16">
        <v>0.16</v>
      </c>
      <c r="G16" s="1" t="s">
        <v>47</v>
      </c>
      <c r="H16" s="1" t="s">
        <v>49</v>
      </c>
      <c r="Z16" s="7"/>
      <c r="AA16" s="6"/>
    </row>
    <row r="17" spans="1:27" x14ac:dyDescent="0.3">
      <c r="A17" s="1" t="s">
        <v>52</v>
      </c>
      <c r="B17" s="1" t="s">
        <v>56</v>
      </c>
      <c r="C17">
        <v>3383642</v>
      </c>
      <c r="D17">
        <v>1637</v>
      </c>
      <c r="E17">
        <v>0.5</v>
      </c>
      <c r="F17">
        <v>0.16</v>
      </c>
      <c r="G17" s="1" t="s">
        <v>50</v>
      </c>
      <c r="H17" s="1" t="s">
        <v>21</v>
      </c>
      <c r="Z17" s="7"/>
      <c r="AA17" s="6"/>
    </row>
    <row r="18" spans="1:27" x14ac:dyDescent="0.3">
      <c r="A18" s="1" t="s">
        <v>29</v>
      </c>
      <c r="B18" s="1" t="s">
        <v>57</v>
      </c>
      <c r="C18">
        <v>81333659</v>
      </c>
      <c r="D18">
        <v>72487</v>
      </c>
      <c r="E18">
        <v>12</v>
      </c>
      <c r="F18">
        <v>6.87</v>
      </c>
      <c r="G18" s="1" t="s">
        <v>19</v>
      </c>
      <c r="H18" s="1" t="s">
        <v>19</v>
      </c>
      <c r="Z18" s="7"/>
      <c r="AA18" s="6"/>
    </row>
    <row r="19" spans="1:27" x14ac:dyDescent="0.3">
      <c r="A19" s="1" t="s">
        <v>53</v>
      </c>
      <c r="B19" s="1" t="s">
        <v>58</v>
      </c>
      <c r="C19">
        <v>7537617</v>
      </c>
      <c r="D19">
        <v>60487</v>
      </c>
      <c r="E19">
        <v>1.1100000000000001</v>
      </c>
      <c r="F19">
        <v>5.74</v>
      </c>
      <c r="G19" s="1" t="s">
        <v>54</v>
      </c>
      <c r="H19" s="1" t="s">
        <v>23</v>
      </c>
      <c r="Z19" s="7"/>
      <c r="AA19" s="6"/>
    </row>
    <row r="20" spans="1:27" x14ac:dyDescent="0.3">
      <c r="A20" s="1" t="s">
        <v>50</v>
      </c>
      <c r="B20" s="1" t="s">
        <v>59</v>
      </c>
      <c r="C20">
        <v>13500</v>
      </c>
      <c r="D20">
        <v>4</v>
      </c>
      <c r="E20">
        <v>0</v>
      </c>
      <c r="F20">
        <v>0</v>
      </c>
      <c r="G20" s="1" t="s">
        <v>60</v>
      </c>
      <c r="H20" s="1" t="s">
        <v>60</v>
      </c>
      <c r="Z20" s="7"/>
      <c r="AA20" s="6"/>
    </row>
    <row r="21" spans="1:27" x14ac:dyDescent="0.3">
      <c r="A21" s="1" t="s">
        <v>44</v>
      </c>
      <c r="B21" s="1" t="s">
        <v>61</v>
      </c>
      <c r="C21">
        <v>303023</v>
      </c>
      <c r="D21">
        <v>1054</v>
      </c>
      <c r="E21">
        <v>0.04</v>
      </c>
      <c r="F21">
        <v>0.1</v>
      </c>
      <c r="G21" s="1" t="s">
        <v>22</v>
      </c>
      <c r="H21" s="1" t="s">
        <v>62</v>
      </c>
      <c r="Z21" s="7"/>
      <c r="AA21" s="6"/>
    </row>
    <row r="22" spans="1:27" x14ac:dyDescent="0.3">
      <c r="A22" s="1" t="s">
        <v>12</v>
      </c>
      <c r="B22" s="1" t="s">
        <v>63</v>
      </c>
      <c r="C22">
        <v>25554067</v>
      </c>
      <c r="D22">
        <v>41601</v>
      </c>
      <c r="E22">
        <v>3.77</v>
      </c>
      <c r="F22">
        <v>3.94</v>
      </c>
      <c r="G22" s="1" t="s">
        <v>33</v>
      </c>
      <c r="H22" s="1" t="s">
        <v>33</v>
      </c>
      <c r="Z22" s="7"/>
      <c r="AA22" s="6"/>
    </row>
    <row r="23" spans="1:27" x14ac:dyDescent="0.3">
      <c r="A23" s="1" t="s">
        <v>49</v>
      </c>
      <c r="B23" s="1" t="s">
        <v>64</v>
      </c>
      <c r="C23">
        <v>43569238</v>
      </c>
      <c r="D23">
        <v>185643</v>
      </c>
      <c r="E23">
        <v>6.43</v>
      </c>
      <c r="F23">
        <v>17.600000000000001</v>
      </c>
      <c r="G23" s="1" t="s">
        <v>23</v>
      </c>
      <c r="H23" s="1" t="s">
        <v>13</v>
      </c>
      <c r="Z23" s="7"/>
      <c r="AA23" s="6"/>
    </row>
    <row r="24" spans="1:27" x14ac:dyDescent="0.3">
      <c r="A24" s="1" t="s">
        <v>21</v>
      </c>
      <c r="B24" s="1" t="s">
        <v>65</v>
      </c>
      <c r="C24">
        <v>49371</v>
      </c>
      <c r="D24">
        <v>648</v>
      </c>
      <c r="E24">
        <v>0.01</v>
      </c>
      <c r="F24">
        <v>0.06</v>
      </c>
      <c r="G24" s="1" t="s">
        <v>32</v>
      </c>
      <c r="H24" s="1" t="s">
        <v>39</v>
      </c>
      <c r="Z24" s="7"/>
      <c r="AA24" s="6"/>
    </row>
    <row r="25" spans="1:27" x14ac:dyDescent="0.3">
      <c r="A25" s="1" t="s">
        <v>62</v>
      </c>
      <c r="B25" s="1" t="s">
        <v>66</v>
      </c>
      <c r="C25">
        <v>154409</v>
      </c>
      <c r="D25">
        <v>411</v>
      </c>
      <c r="E25">
        <v>0.02</v>
      </c>
      <c r="F25">
        <v>0.04</v>
      </c>
      <c r="G25" s="1" t="s">
        <v>67</v>
      </c>
      <c r="H25" s="1" t="s">
        <v>28</v>
      </c>
      <c r="Z25" s="7"/>
      <c r="AA25" s="6"/>
    </row>
    <row r="26" spans="1:27" x14ac:dyDescent="0.3">
      <c r="A26" s="1" t="s">
        <v>25</v>
      </c>
      <c r="B26" s="1" t="s">
        <v>68</v>
      </c>
      <c r="C26">
        <v>87232</v>
      </c>
      <c r="D26">
        <v>234</v>
      </c>
      <c r="E26">
        <v>0.01</v>
      </c>
      <c r="F26">
        <v>0.02</v>
      </c>
      <c r="G26" s="1" t="s">
        <v>36</v>
      </c>
      <c r="H26" s="1" t="s">
        <v>67</v>
      </c>
      <c r="Z26" s="7"/>
      <c r="AA26" s="6"/>
    </row>
    <row r="27" spans="1:27" x14ac:dyDescent="0.3">
      <c r="A27" s="1" t="s">
        <v>39</v>
      </c>
      <c r="B27" s="1" t="s">
        <v>69</v>
      </c>
      <c r="C27">
        <v>23968</v>
      </c>
      <c r="D27">
        <v>325</v>
      </c>
      <c r="E27">
        <v>0</v>
      </c>
      <c r="F27">
        <v>0.03</v>
      </c>
      <c r="G27" s="1" t="s">
        <v>70</v>
      </c>
      <c r="H27" s="1" t="s">
        <v>35</v>
      </c>
      <c r="Z27" s="7"/>
      <c r="AA27" s="6"/>
    </row>
    <row r="28" spans="1:27" x14ac:dyDescent="0.3">
      <c r="A28" s="1" t="s">
        <v>22</v>
      </c>
      <c r="B28" s="1" t="s">
        <v>71</v>
      </c>
      <c r="C28">
        <v>3742221</v>
      </c>
      <c r="D28">
        <v>2269</v>
      </c>
      <c r="E28">
        <v>0.55000000000000004</v>
      </c>
      <c r="F28">
        <v>0.22</v>
      </c>
      <c r="G28" s="1" t="s">
        <v>53</v>
      </c>
      <c r="H28" s="1" t="s">
        <v>44</v>
      </c>
      <c r="Z28" s="7"/>
      <c r="AA28" s="6"/>
    </row>
    <row r="29" spans="1:27" x14ac:dyDescent="0.3">
      <c r="A29" s="1" t="s">
        <v>28</v>
      </c>
      <c r="B29" s="1" t="s">
        <v>72</v>
      </c>
      <c r="C29">
        <v>1253213</v>
      </c>
      <c r="D29">
        <v>321</v>
      </c>
      <c r="E29">
        <v>0.18</v>
      </c>
      <c r="F29">
        <v>0.03</v>
      </c>
      <c r="G29" s="1" t="s">
        <v>62</v>
      </c>
      <c r="H29" s="1" t="s">
        <v>73</v>
      </c>
      <c r="Z29" s="7"/>
      <c r="AA29" s="6"/>
    </row>
    <row r="30" spans="1:27" x14ac:dyDescent="0.3">
      <c r="A30" s="1" t="s">
        <v>35</v>
      </c>
      <c r="B30" s="1" t="s">
        <v>74</v>
      </c>
      <c r="C30">
        <v>26640429</v>
      </c>
      <c r="D30">
        <v>308135</v>
      </c>
      <c r="E30">
        <v>3.93</v>
      </c>
      <c r="F30">
        <v>29.22</v>
      </c>
      <c r="G30" s="1" t="s">
        <v>30</v>
      </c>
      <c r="H30" s="1" t="s">
        <v>9</v>
      </c>
      <c r="Z30" s="7"/>
      <c r="AA30" s="6"/>
    </row>
    <row r="31" spans="1:27" x14ac:dyDescent="0.3">
      <c r="A31" s="1" t="s">
        <v>73</v>
      </c>
      <c r="B31" s="1" t="s">
        <v>75</v>
      </c>
      <c r="C31">
        <v>21988734</v>
      </c>
      <c r="D31">
        <v>34806</v>
      </c>
      <c r="E31">
        <v>3.24</v>
      </c>
      <c r="F31">
        <v>3.3</v>
      </c>
      <c r="G31" s="1" t="s">
        <v>16</v>
      </c>
      <c r="H31" s="1" t="s">
        <v>40</v>
      </c>
      <c r="Z31" s="7"/>
      <c r="AA31" s="6"/>
    </row>
    <row r="32" spans="1:27" x14ac:dyDescent="0.3">
      <c r="A32" s="1" t="s">
        <v>67</v>
      </c>
      <c r="B32" s="1" t="s">
        <v>76</v>
      </c>
      <c r="C32">
        <v>511669</v>
      </c>
      <c r="D32">
        <v>11508</v>
      </c>
      <c r="E32">
        <v>0.08</v>
      </c>
      <c r="F32">
        <v>1.0900000000000001</v>
      </c>
      <c r="G32" s="1" t="s">
        <v>25</v>
      </c>
      <c r="H32" s="1" t="s">
        <v>47</v>
      </c>
      <c r="Z32" s="7"/>
      <c r="AA32" s="6"/>
    </row>
    <row r="33" spans="1:27" x14ac:dyDescent="0.3">
      <c r="A33" s="1" t="s">
        <v>11</v>
      </c>
      <c r="B33" s="1" t="s">
        <v>77</v>
      </c>
      <c r="C33">
        <v>115336719</v>
      </c>
      <c r="D33">
        <v>57622</v>
      </c>
      <c r="E33">
        <v>17.02</v>
      </c>
      <c r="F33">
        <v>5.46</v>
      </c>
      <c r="G33" s="1" t="s">
        <v>9</v>
      </c>
      <c r="H33" s="1" t="s">
        <v>26</v>
      </c>
      <c r="Z33" s="7"/>
      <c r="AA33" s="6"/>
    </row>
    <row r="34" spans="1:27" x14ac:dyDescent="0.3">
      <c r="A34" s="1" t="s">
        <v>18</v>
      </c>
      <c r="B34" s="1" t="s">
        <v>78</v>
      </c>
      <c r="C34">
        <v>32000620</v>
      </c>
      <c r="D34">
        <v>5917</v>
      </c>
      <c r="E34">
        <v>4.72</v>
      </c>
      <c r="F34">
        <v>0.56000000000000005</v>
      </c>
      <c r="G34" s="1" t="s">
        <v>26</v>
      </c>
      <c r="H34" s="1" t="s">
        <v>52</v>
      </c>
      <c r="Z34" s="7"/>
      <c r="AA34" s="6"/>
    </row>
    <row r="35" spans="1:27" x14ac:dyDescent="0.3">
      <c r="A35" s="1" t="s">
        <v>36</v>
      </c>
      <c r="B35" s="1" t="s">
        <v>79</v>
      </c>
      <c r="C35">
        <v>177816</v>
      </c>
      <c r="D35">
        <v>5</v>
      </c>
      <c r="E35">
        <v>0.03</v>
      </c>
      <c r="F35">
        <v>0</v>
      </c>
      <c r="G35" s="1" t="s">
        <v>73</v>
      </c>
      <c r="H35" s="1" t="s">
        <v>70</v>
      </c>
      <c r="Z35" s="7"/>
      <c r="AA35" s="6"/>
    </row>
    <row r="36" spans="1:27" x14ac:dyDescent="0.3">
      <c r="A36" s="1" t="s">
        <v>32</v>
      </c>
      <c r="B36" s="1" t="s">
        <v>80</v>
      </c>
      <c r="C36">
        <v>109708435</v>
      </c>
      <c r="D36">
        <v>44737</v>
      </c>
      <c r="E36">
        <v>16.190000000000001</v>
      </c>
      <c r="F36">
        <v>4.24</v>
      </c>
      <c r="G36" s="1" t="s">
        <v>13</v>
      </c>
      <c r="H36" s="1" t="s">
        <v>30</v>
      </c>
      <c r="Z36" s="7"/>
      <c r="AA36" s="6"/>
    </row>
    <row r="37" spans="1:27" x14ac:dyDescent="0.3">
      <c r="A37" s="1" t="s">
        <v>70</v>
      </c>
      <c r="B37" s="1" t="s">
        <v>81</v>
      </c>
      <c r="C37">
        <v>19434475</v>
      </c>
      <c r="D37">
        <v>8532</v>
      </c>
      <c r="E37">
        <v>2.87</v>
      </c>
      <c r="F37">
        <v>0.81</v>
      </c>
      <c r="G37" s="1" t="s">
        <v>45</v>
      </c>
      <c r="H37" s="1" t="s">
        <v>54</v>
      </c>
      <c r="Z37" s="7"/>
      <c r="AA37" s="6"/>
    </row>
    <row r="38" spans="1:27" x14ac:dyDescent="0.3">
      <c r="A38" s="1" t="s">
        <v>60</v>
      </c>
      <c r="B38" s="1" t="s">
        <v>82</v>
      </c>
      <c r="C38">
        <v>24325984</v>
      </c>
      <c r="D38">
        <v>34828</v>
      </c>
      <c r="E38">
        <v>3.59</v>
      </c>
      <c r="F38">
        <v>3.3</v>
      </c>
      <c r="G38" s="1" t="s">
        <v>40</v>
      </c>
      <c r="H38" s="1" t="s">
        <v>37</v>
      </c>
      <c r="Z38" s="7"/>
      <c r="AA38" s="6"/>
    </row>
    <row r="39" spans="1:27" x14ac:dyDescent="0.3">
      <c r="Z39" s="7"/>
      <c r="AA39" s="6"/>
    </row>
    <row r="40" spans="1:27" x14ac:dyDescent="0.3">
      <c r="Z40" s="7"/>
      <c r="AA40" s="6"/>
    </row>
    <row r="41" spans="1:27" x14ac:dyDescent="0.3">
      <c r="Z41" s="7"/>
      <c r="AA41" s="6"/>
    </row>
    <row r="42" spans="1:27" x14ac:dyDescent="0.3">
      <c r="Z42" s="7"/>
      <c r="AA42" s="6"/>
    </row>
    <row r="43" spans="1:27" x14ac:dyDescent="0.3">
      <c r="Z43" s="7"/>
      <c r="AA43" s="6"/>
    </row>
    <row r="44" spans="1:27" x14ac:dyDescent="0.3">
      <c r="Z44" s="7"/>
      <c r="AA44" s="6"/>
    </row>
    <row r="45" spans="1:27" x14ac:dyDescent="0.3">
      <c r="Z45" s="7"/>
      <c r="AA45" s="6"/>
    </row>
    <row r="46" spans="1:27" x14ac:dyDescent="0.3">
      <c r="Z46" s="7"/>
      <c r="AA46" s="6"/>
    </row>
    <row r="47" spans="1:27" x14ac:dyDescent="0.3">
      <c r="Z47" s="7"/>
      <c r="AA47" s="6"/>
    </row>
    <row r="48" spans="1:27" x14ac:dyDescent="0.3">
      <c r="Z48" s="7"/>
      <c r="AA48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F3E-3270-4325-AB69-314ED1F93A68}">
  <sheetPr codeName="Sheet3"/>
  <dimension ref="A1:C38"/>
  <sheetViews>
    <sheetView tabSelected="1" workbookViewId="0">
      <selection sqref="A1:C1048576"/>
    </sheetView>
  </sheetViews>
  <sheetFormatPr defaultRowHeight="14.4" x14ac:dyDescent="0.3"/>
  <cols>
    <col min="1" max="1" width="7.77734375" bestFit="1" customWidth="1"/>
    <col min="2" max="2" width="25.44140625" bestFit="1" customWidth="1"/>
    <col min="3" max="3" width="20.1093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 t="s">
        <v>9</v>
      </c>
      <c r="B2" s="1" t="s">
        <v>10</v>
      </c>
      <c r="C2">
        <v>126238</v>
      </c>
    </row>
    <row r="3" spans="1:3" x14ac:dyDescent="0.3">
      <c r="A3" s="1" t="s">
        <v>13</v>
      </c>
      <c r="B3" s="1" t="s">
        <v>14</v>
      </c>
      <c r="C3">
        <v>93277569</v>
      </c>
    </row>
    <row r="4" spans="1:3" x14ac:dyDescent="0.3">
      <c r="A4" s="1" t="s">
        <v>15</v>
      </c>
      <c r="B4" s="1" t="s">
        <v>17</v>
      </c>
      <c r="C4">
        <v>102915</v>
      </c>
    </row>
    <row r="5" spans="1:3" x14ac:dyDescent="0.3">
      <c r="A5" s="1" t="s">
        <v>19</v>
      </c>
      <c r="B5" s="1" t="s">
        <v>20</v>
      </c>
      <c r="C5">
        <v>1409161</v>
      </c>
    </row>
    <row r="6" spans="1:3" x14ac:dyDescent="0.3">
      <c r="A6" s="1" t="s">
        <v>23</v>
      </c>
      <c r="B6" s="1" t="s">
        <v>24</v>
      </c>
      <c r="C6">
        <v>2501193</v>
      </c>
    </row>
    <row r="7" spans="1:3" x14ac:dyDescent="0.3">
      <c r="A7" s="1" t="s">
        <v>26</v>
      </c>
      <c r="B7" s="1" t="s">
        <v>27</v>
      </c>
      <c r="C7">
        <v>228809</v>
      </c>
    </row>
    <row r="8" spans="1:3" x14ac:dyDescent="0.3">
      <c r="A8" s="1" t="s">
        <v>30</v>
      </c>
      <c r="B8" s="1" t="s">
        <v>31</v>
      </c>
      <c r="C8">
        <v>4747417</v>
      </c>
    </row>
    <row r="9" spans="1:3" x14ac:dyDescent="0.3">
      <c r="A9" s="1" t="s">
        <v>33</v>
      </c>
      <c r="B9" s="1" t="s">
        <v>34</v>
      </c>
      <c r="C9">
        <v>197802</v>
      </c>
    </row>
    <row r="10" spans="1:3" x14ac:dyDescent="0.3">
      <c r="A10" s="1" t="s">
        <v>37</v>
      </c>
      <c r="B10" s="1" t="s">
        <v>38</v>
      </c>
      <c r="C10">
        <v>463420</v>
      </c>
    </row>
    <row r="11" spans="1:3" x14ac:dyDescent="0.3">
      <c r="A11" s="1" t="s">
        <v>40</v>
      </c>
      <c r="B11" s="1" t="s">
        <v>41</v>
      </c>
      <c r="C11">
        <v>10642477</v>
      </c>
    </row>
    <row r="12" spans="1:3" x14ac:dyDescent="0.3">
      <c r="A12" s="1" t="s">
        <v>16</v>
      </c>
      <c r="B12" s="1" t="s">
        <v>43</v>
      </c>
      <c r="C12">
        <v>3308089</v>
      </c>
    </row>
    <row r="13" spans="1:3" x14ac:dyDescent="0.3">
      <c r="A13" s="1" t="s">
        <v>45</v>
      </c>
      <c r="B13" s="1" t="s">
        <v>46</v>
      </c>
      <c r="C13">
        <v>24525210</v>
      </c>
    </row>
    <row r="14" spans="1:3" x14ac:dyDescent="0.3">
      <c r="A14" s="1" t="s">
        <v>47</v>
      </c>
      <c r="B14" s="1" t="s">
        <v>48</v>
      </c>
      <c r="C14">
        <v>2025450</v>
      </c>
    </row>
    <row r="15" spans="1:3" x14ac:dyDescent="0.3">
      <c r="A15" s="1" t="s">
        <v>42</v>
      </c>
      <c r="B15" s="1" t="s">
        <v>51</v>
      </c>
      <c r="C15">
        <v>5632270</v>
      </c>
    </row>
    <row r="16" spans="1:3" x14ac:dyDescent="0.3">
      <c r="A16" s="1" t="s">
        <v>54</v>
      </c>
      <c r="B16" s="1" t="s">
        <v>55</v>
      </c>
      <c r="C16">
        <v>11314920</v>
      </c>
    </row>
    <row r="17" spans="1:3" x14ac:dyDescent="0.3">
      <c r="A17" s="1" t="s">
        <v>52</v>
      </c>
      <c r="B17" s="1" t="s">
        <v>56</v>
      </c>
      <c r="C17">
        <v>3383642</v>
      </c>
    </row>
    <row r="18" spans="1:3" x14ac:dyDescent="0.3">
      <c r="A18" s="1" t="s">
        <v>29</v>
      </c>
      <c r="B18" s="1" t="s">
        <v>57</v>
      </c>
      <c r="C18">
        <v>81333659</v>
      </c>
    </row>
    <row r="19" spans="1:3" x14ac:dyDescent="0.3">
      <c r="A19" s="1" t="s">
        <v>53</v>
      </c>
      <c r="B19" s="1" t="s">
        <v>58</v>
      </c>
      <c r="C19">
        <v>7537617</v>
      </c>
    </row>
    <row r="20" spans="1:3" x14ac:dyDescent="0.3">
      <c r="A20" s="1" t="s">
        <v>50</v>
      </c>
      <c r="B20" s="1" t="s">
        <v>59</v>
      </c>
      <c r="C20">
        <v>13500</v>
      </c>
    </row>
    <row r="21" spans="1:3" x14ac:dyDescent="0.3">
      <c r="A21" s="1" t="s">
        <v>44</v>
      </c>
      <c r="B21" s="1" t="s">
        <v>61</v>
      </c>
      <c r="C21">
        <v>303023</v>
      </c>
    </row>
    <row r="22" spans="1:3" x14ac:dyDescent="0.3">
      <c r="A22" s="1" t="s">
        <v>12</v>
      </c>
      <c r="B22" s="1" t="s">
        <v>63</v>
      </c>
      <c r="C22">
        <v>25554067</v>
      </c>
    </row>
    <row r="23" spans="1:3" x14ac:dyDescent="0.3">
      <c r="A23" s="1" t="s">
        <v>49</v>
      </c>
      <c r="B23" s="1" t="s">
        <v>64</v>
      </c>
      <c r="C23">
        <v>43569238</v>
      </c>
    </row>
    <row r="24" spans="1:3" x14ac:dyDescent="0.3">
      <c r="A24" s="1" t="s">
        <v>21</v>
      </c>
      <c r="B24" s="1" t="s">
        <v>65</v>
      </c>
      <c r="C24">
        <v>49371</v>
      </c>
    </row>
    <row r="25" spans="1:3" x14ac:dyDescent="0.3">
      <c r="A25" s="1" t="s">
        <v>62</v>
      </c>
      <c r="B25" s="1" t="s">
        <v>66</v>
      </c>
      <c r="C25">
        <v>154409</v>
      </c>
    </row>
    <row r="26" spans="1:3" x14ac:dyDescent="0.3">
      <c r="A26" s="1" t="s">
        <v>25</v>
      </c>
      <c r="B26" s="1" t="s">
        <v>68</v>
      </c>
      <c r="C26">
        <v>87232</v>
      </c>
    </row>
    <row r="27" spans="1:3" x14ac:dyDescent="0.3">
      <c r="A27" s="1" t="s">
        <v>39</v>
      </c>
      <c r="B27" s="1" t="s">
        <v>69</v>
      </c>
      <c r="C27">
        <v>23968</v>
      </c>
    </row>
    <row r="28" spans="1:3" x14ac:dyDescent="0.3">
      <c r="A28" s="1" t="s">
        <v>22</v>
      </c>
      <c r="B28" s="1" t="s">
        <v>71</v>
      </c>
      <c r="C28">
        <v>3742221</v>
      </c>
    </row>
    <row r="29" spans="1:3" x14ac:dyDescent="0.3">
      <c r="A29" s="1" t="s">
        <v>28</v>
      </c>
      <c r="B29" s="1" t="s">
        <v>72</v>
      </c>
      <c r="C29">
        <v>1253213</v>
      </c>
    </row>
    <row r="30" spans="1:3" x14ac:dyDescent="0.3">
      <c r="A30" s="1" t="s">
        <v>35</v>
      </c>
      <c r="B30" s="1" t="s">
        <v>74</v>
      </c>
      <c r="C30">
        <v>26640429</v>
      </c>
    </row>
    <row r="31" spans="1:3" x14ac:dyDescent="0.3">
      <c r="A31" s="1" t="s">
        <v>73</v>
      </c>
      <c r="B31" s="1" t="s">
        <v>75</v>
      </c>
      <c r="C31">
        <v>21988734</v>
      </c>
    </row>
    <row r="32" spans="1:3" x14ac:dyDescent="0.3">
      <c r="A32" s="1" t="s">
        <v>67</v>
      </c>
      <c r="B32" s="1" t="s">
        <v>76</v>
      </c>
      <c r="C32">
        <v>511669</v>
      </c>
    </row>
    <row r="33" spans="1:3" x14ac:dyDescent="0.3">
      <c r="A33" s="1" t="s">
        <v>11</v>
      </c>
      <c r="B33" s="1" t="s">
        <v>77</v>
      </c>
      <c r="C33">
        <v>115336719</v>
      </c>
    </row>
    <row r="34" spans="1:3" x14ac:dyDescent="0.3">
      <c r="A34" s="1" t="s">
        <v>18</v>
      </c>
      <c r="B34" s="1" t="s">
        <v>78</v>
      </c>
      <c r="C34">
        <v>32000620</v>
      </c>
    </row>
    <row r="35" spans="1:3" x14ac:dyDescent="0.3">
      <c r="A35" s="1" t="s">
        <v>36</v>
      </c>
      <c r="B35" s="1" t="s">
        <v>79</v>
      </c>
      <c r="C35">
        <v>177816</v>
      </c>
    </row>
    <row r="36" spans="1:3" x14ac:dyDescent="0.3">
      <c r="A36" s="1" t="s">
        <v>32</v>
      </c>
      <c r="B36" s="1" t="s">
        <v>80</v>
      </c>
      <c r="C36">
        <v>109708435</v>
      </c>
    </row>
    <row r="37" spans="1:3" x14ac:dyDescent="0.3">
      <c r="A37" s="1" t="s">
        <v>70</v>
      </c>
      <c r="B37" s="1" t="s">
        <v>81</v>
      </c>
      <c r="C37">
        <v>19434475</v>
      </c>
    </row>
    <row r="38" spans="1:3" x14ac:dyDescent="0.3">
      <c r="A38" s="1" t="s">
        <v>60</v>
      </c>
      <c r="B38" s="1" t="s">
        <v>82</v>
      </c>
      <c r="C38">
        <v>24325984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0311F-9C29-4200-9FFC-E6554C3301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FuzzyLookup_AddIn_Undo_Sheet</vt:lpstr>
      <vt:lpstr>India_Tourism</vt:lpstr>
      <vt:lpstr>Sheet1</vt:lpstr>
      <vt:lpstr>In_Tourism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RAJ NIGAM</dc:creator>
  <cp:lastModifiedBy>AKASH RAJ NIGAM</cp:lastModifiedBy>
  <dcterms:created xsi:type="dcterms:W3CDTF">2026-01-04T07:42:50Z</dcterms:created>
  <dcterms:modified xsi:type="dcterms:W3CDTF">2026-01-04T08:29:49Z</dcterms:modified>
</cp:coreProperties>
</file>